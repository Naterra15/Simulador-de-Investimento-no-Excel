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95" windowWidth="20115" windowHeight="8190" tabRatio="588"/>
  </bookViews>
  <sheets>
    <sheet name="APP" sheetId="1" r:id="rId1"/>
    <sheet name="tbl de apoio" sheetId="2" r:id="rId2"/>
  </sheets>
  <definedNames>
    <definedName name="aporte">APP!$D$17</definedName>
    <definedName name="patrimonio">APP!$D$20</definedName>
    <definedName name="qn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44525"/>
</workbook>
</file>

<file path=xl/calcChain.xml><?xml version="1.0" encoding="utf-8"?>
<calcChain xmlns="http://schemas.openxmlformats.org/spreadsheetml/2006/main">
  <c r="H3" i="2" l="1"/>
  <c r="D20" i="1"/>
  <c r="D14" i="1"/>
  <c r="C37" i="1"/>
  <c r="C38" i="1"/>
  <c r="C39" i="1"/>
  <c r="C40" i="1"/>
  <c r="C41" i="1"/>
  <c r="C36" i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40" i="1" l="1"/>
  <c r="D38" i="1"/>
  <c r="D36" i="1"/>
  <c r="D39" i="1"/>
  <c r="D37" i="1"/>
  <c r="D41" i="1"/>
  <c r="D21" i="1"/>
  <c r="C25" i="1"/>
  <c r="D25" i="1" s="1"/>
  <c r="C26" i="1"/>
  <c r="D26" i="1" s="1"/>
  <c r="C27" i="1"/>
  <c r="D27" i="1" s="1"/>
  <c r="C28" i="1"/>
  <c r="D28" i="1" s="1"/>
  <c r="C24" i="1"/>
  <c r="D24" i="1" s="1"/>
  <c r="D42" i="1" l="1"/>
</calcChain>
</file>

<file path=xl/sharedStrings.xml><?xml version="1.0" encoding="utf-8"?>
<sst xmlns="http://schemas.openxmlformats.org/spreadsheetml/2006/main" count="74" uniqueCount="38">
  <si>
    <t>Quanto investir por mês?</t>
  </si>
  <si>
    <t>Por quantos anos?</t>
  </si>
  <si>
    <t>Taxa de rendimento mensal?</t>
  </si>
  <si>
    <t>Quanto de Patrimônio acumulado?</t>
  </si>
  <si>
    <t>Quanto de dividendos mensais?</t>
  </si>
  <si>
    <t>INVESTIMENTO MENSAL</t>
  </si>
  <si>
    <t>Quantos em 2 anos?</t>
  </si>
  <si>
    <t>Quantos em 5 anos?</t>
  </si>
  <si>
    <t>Quantos em 10 anos?</t>
  </si>
  <si>
    <t>Quantos em 20 anos?</t>
  </si>
  <si>
    <t>Quantos em 30 anos?</t>
  </si>
  <si>
    <t>Cenários</t>
  </si>
  <si>
    <t>Dividendo</t>
  </si>
  <si>
    <t>Rendimento Carteira</t>
  </si>
  <si>
    <t>Salário</t>
  </si>
  <si>
    <t>CONFIGURAÇÕES</t>
  </si>
  <si>
    <t>Conservador</t>
  </si>
  <si>
    <t>VALOR A SER INVESTIDO POR MÊS</t>
  </si>
  <si>
    <t>*</t>
  </si>
  <si>
    <t>*****</t>
  </si>
  <si>
    <t>PERFIL</t>
  </si>
  <si>
    <t>Moderado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</si>
  <si>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</si>
  <si>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</si>
  <si>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</si>
  <si>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</si>
  <si>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</si>
  <si>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</si>
  <si>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</si>
  <si>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</si>
  <si>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</si>
  <si>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 xml:space="preserve">   </t>
  </si>
  <si>
    <t>TIPOS DE FII</t>
  </si>
  <si>
    <t>%</t>
  </si>
  <si>
    <t>CHAVE</t>
  </si>
  <si>
    <t>Agressivo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</si>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</sst>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20"/>
      <color theme="0"/>
      <name val="Segoe UI Semibold"/>
      <family val="2"/>
    </font>
    <font>
      <sz val="11"/>
      <color theme="1"/>
      <name val="Segoe UI"/>
      <family val="2"/>
    </font>
    <font>
      <sz val="12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6" fillId="5" borderId="0" applyNumberFormat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5" fillId="0" borderId="0" xfId="0" applyFont="1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164" fontId="4" fillId="2" borderId="4" xfId="0" applyNumberFormat="1" applyFont="1" applyFill="1" applyBorder="1" applyAlignment="1">
      <alignment horizontal="center" vertical="center"/>
    </xf>
    <xf numFmtId="0" fontId="0" fillId="0" borderId="0" xfId="0" applyBorder="1"/>
    <xf numFmtId="0" fontId="8" fillId="0" borderId="0" xfId="0" applyFont="1"/>
    <xf numFmtId="164" fontId="8" fillId="0" borderId="7" xfId="1" applyNumberFormat="1" applyFont="1" applyBorder="1" applyAlignment="1">
      <alignment horizontal="center"/>
    </xf>
    <xf numFmtId="164" fontId="10" fillId="0" borderId="7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10" fontId="10" fillId="0" borderId="7" xfId="0" applyNumberFormat="1" applyFont="1" applyBorder="1" applyAlignment="1">
      <alignment horizontal="center"/>
    </xf>
    <xf numFmtId="0" fontId="0" fillId="8" borderId="0" xfId="0" applyFill="1"/>
    <xf numFmtId="8" fontId="10" fillId="8" borderId="7" xfId="0" applyNumberFormat="1" applyFont="1" applyFill="1" applyBorder="1" applyAlignment="1">
      <alignment horizontal="center"/>
    </xf>
    <xf numFmtId="8" fontId="10" fillId="8" borderId="10" xfId="0" applyNumberFormat="1" applyFont="1" applyFill="1" applyBorder="1" applyAlignment="1">
      <alignment horizontal="center"/>
    </xf>
    <xf numFmtId="164" fontId="9" fillId="8" borderId="5" xfId="0" applyNumberFormat="1" applyFont="1" applyFill="1" applyBorder="1" applyAlignment="1">
      <alignment horizontal="left" indent="3"/>
    </xf>
    <xf numFmtId="164" fontId="8" fillId="8" borderId="6" xfId="0" applyNumberFormat="1" applyFont="1" applyFill="1" applyBorder="1" applyAlignment="1">
      <alignment horizontal="center"/>
    </xf>
    <xf numFmtId="164" fontId="8" fillId="8" borderId="7" xfId="0" applyNumberFormat="1" applyFont="1" applyFill="1" applyBorder="1" applyAlignment="1">
      <alignment horizontal="center"/>
    </xf>
    <xf numFmtId="164" fontId="9" fillId="8" borderId="8" xfId="0" applyNumberFormat="1" applyFont="1" applyFill="1" applyBorder="1" applyAlignment="1">
      <alignment horizontal="left" indent="3"/>
    </xf>
    <xf numFmtId="164" fontId="8" fillId="8" borderId="9" xfId="0" applyNumberFormat="1" applyFont="1" applyFill="1" applyBorder="1" applyAlignment="1">
      <alignment horizontal="center"/>
    </xf>
    <xf numFmtId="164" fontId="8" fillId="8" borderId="10" xfId="0" applyNumberFormat="1" applyFont="1" applyFill="1" applyBorder="1" applyAlignment="1">
      <alignment horizontal="center"/>
    </xf>
    <xf numFmtId="10" fontId="8" fillId="0" borderId="7" xfId="0" applyNumberFormat="1" applyFont="1" applyBorder="1" applyAlignment="1">
      <alignment horizontal="center"/>
    </xf>
    <xf numFmtId="0" fontId="6" fillId="5" borderId="0" xfId="2"/>
    <xf numFmtId="0" fontId="1" fillId="8" borderId="0" xfId="0" applyFont="1" applyFill="1"/>
    <xf numFmtId="0" fontId="6" fillId="5" borderId="0" xfId="2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1" fillId="9" borderId="0" xfId="0" applyFont="1" applyFill="1" applyAlignment="1">
      <alignment horizontal="center"/>
    </xf>
    <xf numFmtId="0" fontId="0" fillId="9" borderId="0" xfId="0" applyFill="1"/>
    <xf numFmtId="0" fontId="6" fillId="5" borderId="0" xfId="2" applyAlignment="1"/>
    <xf numFmtId="164" fontId="0" fillId="8" borderId="0" xfId="0" applyNumberFormat="1" applyFill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9" fontId="0" fillId="0" borderId="11" xfId="0" applyNumberFormat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9" fontId="0" fillId="7" borderId="0" xfId="0" applyNumberFormat="1" applyFill="1" applyAlignment="1">
      <alignment horizontal="center"/>
    </xf>
    <xf numFmtId="10" fontId="6" fillId="5" borderId="0" xfId="2" applyNumberFormat="1" applyAlignment="1">
      <alignment horizontal="center"/>
    </xf>
    <xf numFmtId="164" fontId="1" fillId="0" borderId="0" xfId="0" applyNumberFormat="1" applyFont="1" applyAlignment="1"/>
    <xf numFmtId="164" fontId="1" fillId="9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6" borderId="0" xfId="0" applyFont="1" applyFill="1" applyAlignment="1">
      <alignment horizontal="left"/>
    </xf>
    <xf numFmtId="164" fontId="7" fillId="2" borderId="12" xfId="0" applyNumberFormat="1" applyFont="1" applyFill="1" applyBorder="1" applyAlignment="1">
      <alignment horizontal="center" vertical="center"/>
    </xf>
    <xf numFmtId="164" fontId="7" fillId="2" borderId="13" xfId="0" applyNumberFormat="1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left" indent="3"/>
    </xf>
    <xf numFmtId="0" fontId="9" fillId="8" borderId="6" xfId="0" applyFont="1" applyFill="1" applyBorder="1" applyAlignment="1">
      <alignment horizontal="left" indent="3"/>
    </xf>
    <xf numFmtId="0" fontId="11" fillId="3" borderId="5" xfId="0" applyFont="1" applyFill="1" applyBorder="1" applyAlignment="1">
      <alignment horizontal="left" indent="3"/>
    </xf>
    <xf numFmtId="0" fontId="11" fillId="3" borderId="6" xfId="0" applyFont="1" applyFill="1" applyBorder="1" applyAlignment="1">
      <alignment horizontal="left" indent="3"/>
    </xf>
    <xf numFmtId="0" fontId="11" fillId="3" borderId="8" xfId="0" applyFont="1" applyFill="1" applyBorder="1" applyAlignment="1">
      <alignment horizontal="left" indent="3"/>
    </xf>
    <xf numFmtId="0" fontId="11" fillId="3" borderId="9" xfId="0" applyFont="1" applyFill="1" applyBorder="1" applyAlignment="1">
      <alignment horizontal="left" indent="3"/>
    </xf>
    <xf numFmtId="0" fontId="9" fillId="8" borderId="8" xfId="0" applyFont="1" applyFill="1" applyBorder="1" applyAlignment="1">
      <alignment horizontal="left" indent="3"/>
    </xf>
    <xf numFmtId="0" fontId="9" fillId="8" borderId="9" xfId="0" applyFont="1" applyFill="1" applyBorder="1" applyAlignment="1">
      <alignment horizontal="left" indent="3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</cellXfs>
  <cellStyles count="3">
    <cellStyle name="Moeda" xfId="1" builtinId="4"/>
    <cellStyle name="Neutra" xfId="2" builtinId="28"/>
    <cellStyle name="Normal" xfId="0" builtinId="0"/>
  </cellStyles>
  <dxfs count="0"/>
  <tableStyles count="0" defaultTableStyle="TableStyleMedium2" defaultPivotStyle="PivotStyleLight16"/>
  <colors>
    <mruColors>
      <color rgb="FF99FF99"/>
      <color rgb="FFFF66CC"/>
      <color rgb="FF00800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1"/>
            <c:bubble3D val="0"/>
            <c:spPr>
              <a:solidFill>
                <a:srgbClr val="FF66CC"/>
              </a:solidFill>
            </c:spPr>
          </c:dPt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ln>
          <a:noFill/>
        </a:ln>
      </c:spPr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947737</xdr:colOff>
      <xdr:row>44</xdr:row>
      <xdr:rowOff>28575</xdr:rowOff>
    </xdr:from>
    <xdr:to>
      <xdr:col>3</xdr:col>
      <xdr:colOff>933450</xdr:colOff>
      <xdr:row>57</xdr:row>
      <xdr:rowOff>14287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314325</xdr:colOff>
      <xdr:row>0</xdr:row>
      <xdr:rowOff>133350</xdr:rowOff>
    </xdr:from>
    <xdr:to>
      <xdr:col>4</xdr:col>
      <xdr:colOff>66675</xdr:colOff>
      <xdr:row>8</xdr:row>
      <xdr:rowOff>142875</xdr:rowOff>
    </xdr:to>
    <xdr:sp macro="" textlink="">
      <xdr:nvSpPr>
        <xdr:cNvPr id="4" name="Retângulo de cantos arredondados 3"/>
        <xdr:cNvSpPr/>
      </xdr:nvSpPr>
      <xdr:spPr>
        <a:xfrm>
          <a:off x="314325" y="133350"/>
          <a:ext cx="6610350" cy="1533525"/>
        </a:xfrm>
        <a:prstGeom prst="roundRect">
          <a:avLst/>
        </a:prstGeom>
        <a:solidFill>
          <a:srgbClr val="7030A0"/>
        </a:solidFill>
        <a:ln w="57150">
          <a:solidFill>
            <a:srgbClr val="99FF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</xdr:col>
      <xdr:colOff>247649</xdr:colOff>
      <xdr:row>1</xdr:row>
      <xdr:rowOff>142874</xdr:rowOff>
    </xdr:from>
    <xdr:to>
      <xdr:col>1</xdr:col>
      <xdr:colOff>1621419</xdr:colOff>
      <xdr:row>8</xdr:row>
      <xdr:rowOff>28575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09599" y="333374"/>
          <a:ext cx="1373770" cy="1219201"/>
        </a:xfrm>
        <a:prstGeom prst="flowChartConnector">
          <a:avLst/>
        </a:prstGeom>
        <a:noFill/>
        <a:ln>
          <a:noFill/>
        </a:ln>
      </xdr:spPr>
    </xdr:pic>
    <xdr:clientData/>
  </xdr:twoCellAnchor>
  <xdr:twoCellAnchor>
    <xdr:from>
      <xdr:col>1</xdr:col>
      <xdr:colOff>2200275</xdr:colOff>
      <xdr:row>2</xdr:row>
      <xdr:rowOff>38100</xdr:rowOff>
    </xdr:from>
    <xdr:to>
      <xdr:col>3</xdr:col>
      <xdr:colOff>1304924</xdr:colOff>
      <xdr:row>7</xdr:row>
      <xdr:rowOff>38100</xdr:rowOff>
    </xdr:to>
    <xdr:sp macro="" textlink="">
      <xdr:nvSpPr>
        <xdr:cNvPr id="7" name="CaixaDeTexto 6"/>
        <xdr:cNvSpPr txBox="1"/>
      </xdr:nvSpPr>
      <xdr:spPr>
        <a:xfrm>
          <a:off x="2562225" y="419100"/>
          <a:ext cx="4076699" cy="952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6000" b="1" cap="all" spc="0" baseline="0">
              <a:ln w="9000" cmpd="sng">
                <a:solidFill>
                  <a:schemeClr val="accent4">
                    <a:shade val="50000"/>
                    <a:satMod val="120000"/>
                  </a:schemeClr>
                </a:solidFill>
                <a:prstDash val="solid"/>
              </a:ln>
              <a:solidFill>
                <a:schemeClr val="bg1"/>
              </a:solidFill>
              <a:effectLst>
                <a:reflection blurRad="12700" stA="28000" endPos="45000" dist="1000" dir="5400000" sy="-100000" algn="bl" rotWithShape="0"/>
              </a:effectLst>
            </a:rPr>
            <a:t>NA INVEST</a:t>
          </a:r>
          <a:endParaRPr lang="pt-BR" sz="6000" b="1" cap="none" spc="0" baseline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G4131"/>
  <sheetViews>
    <sheetView showGridLines="0" showRowColHeaders="0" tabSelected="1" zoomScaleNormal="100" workbookViewId="0">
      <selection activeCell="F16" sqref="F16"/>
    </sheetView>
  </sheetViews>
  <sheetFormatPr defaultColWidth="0" defaultRowHeight="15" x14ac:dyDescent="0.25"/>
  <cols>
    <col min="1" max="1" width="5.42578125" customWidth="1"/>
    <col min="2" max="2" width="43.28515625" customWidth="1"/>
    <col min="3" max="3" width="31.28515625" bestFit="1" customWidth="1"/>
    <col min="4" max="4" width="22.85546875" customWidth="1"/>
    <col min="5" max="5" width="3.85546875" customWidth="1"/>
    <col min="6" max="6" width="5.28515625" customWidth="1"/>
    <col min="7" max="7" width="4.7109375" customWidth="1"/>
    <col min="8" max="11" width="9.140625" hidden="1" customWidth="1"/>
    <col min="12" max="16384" width="9.140625" hidden="1"/>
  </cols>
  <sheetData>
    <row r="10" spans="2:6" ht="15.75" thickBot="1" x14ac:dyDescent="0.3"/>
    <row r="11" spans="2:6" ht="30.75" x14ac:dyDescent="0.25">
      <c r="B11" s="53" t="s">
        <v>15</v>
      </c>
      <c r="C11" s="54"/>
      <c r="D11" s="55"/>
    </row>
    <row r="12" spans="2:6" ht="17.25" x14ac:dyDescent="0.3">
      <c r="B12" s="45" t="s">
        <v>14</v>
      </c>
      <c r="C12" s="46"/>
      <c r="D12" s="9">
        <v>2000</v>
      </c>
    </row>
    <row r="13" spans="2:6" ht="17.25" x14ac:dyDescent="0.3">
      <c r="B13" s="45" t="s">
        <v>13</v>
      </c>
      <c r="C13" s="46"/>
      <c r="D13" s="22">
        <v>6.0000000000000001E-3</v>
      </c>
    </row>
    <row r="14" spans="2:6" ht="18" thickBot="1" x14ac:dyDescent="0.35">
      <c r="B14" s="51" t="s">
        <v>37</v>
      </c>
      <c r="C14" s="52"/>
      <c r="D14" s="21">
        <f>D12*30%</f>
        <v>600</v>
      </c>
    </row>
    <row r="15" spans="2:6" ht="15.75" thickBot="1" x14ac:dyDescent="0.3"/>
    <row r="16" spans="2:6" ht="30.75" customHeight="1" x14ac:dyDescent="0.3">
      <c r="B16" s="56" t="s">
        <v>5</v>
      </c>
      <c r="C16" s="57"/>
      <c r="D16" s="58"/>
      <c r="F16" s="8"/>
    </row>
    <row r="17" spans="1:6" ht="17.25" x14ac:dyDescent="0.3">
      <c r="B17" s="45" t="s">
        <v>0</v>
      </c>
      <c r="C17" s="46"/>
      <c r="D17" s="10">
        <v>200</v>
      </c>
    </row>
    <row r="18" spans="1:6" ht="17.25" x14ac:dyDescent="0.3">
      <c r="B18" s="45" t="s">
        <v>1</v>
      </c>
      <c r="C18" s="46"/>
      <c r="D18" s="11">
        <v>5</v>
      </c>
    </row>
    <row r="19" spans="1:6" ht="15" customHeight="1" x14ac:dyDescent="0.3">
      <c r="B19" s="45" t="s">
        <v>2</v>
      </c>
      <c r="C19" s="46"/>
      <c r="D19" s="12">
        <v>1.0789999999999999E-2</v>
      </c>
    </row>
    <row r="20" spans="1:6" ht="17.25" x14ac:dyDescent="0.3">
      <c r="B20" s="47" t="s">
        <v>3</v>
      </c>
      <c r="C20" s="48"/>
      <c r="D20" s="14">
        <f>FV(taxa_mensal,qntd_anos*12,aporte*-1)</f>
        <v>16755.382799697527</v>
      </c>
    </row>
    <row r="21" spans="1:6" ht="18" thickBot="1" x14ac:dyDescent="0.35">
      <c r="B21" s="49" t="s">
        <v>4</v>
      </c>
      <c r="C21" s="50"/>
      <c r="D21" s="15">
        <f>patrimonio*rendimento_carteira</f>
        <v>100.53229679818516</v>
      </c>
    </row>
    <row r="22" spans="1:6" ht="18" thickBot="1" x14ac:dyDescent="0.35">
      <c r="B22" s="1"/>
      <c r="F22" s="3"/>
    </row>
    <row r="23" spans="1:6" ht="30.75" x14ac:dyDescent="0.25">
      <c r="B23" s="43" t="s">
        <v>11</v>
      </c>
      <c r="C23" s="44"/>
      <c r="D23" s="6" t="s">
        <v>12</v>
      </c>
    </row>
    <row r="24" spans="1:6" ht="17.25" x14ac:dyDescent="0.3">
      <c r="A24" s="2">
        <v>2</v>
      </c>
      <c r="B24" s="16" t="s">
        <v>6</v>
      </c>
      <c r="C24" s="17">
        <f>FV($D$19,$A24*12,$D$17*-1)</f>
        <v>5445.5254595290435</v>
      </c>
      <c r="D24" s="18">
        <f>C24*rendimento_carteira</f>
        <v>32.673152757174265</v>
      </c>
    </row>
    <row r="25" spans="1:6" ht="17.25" x14ac:dyDescent="0.3">
      <c r="A25" s="2">
        <v>5</v>
      </c>
      <c r="B25" s="16" t="s">
        <v>7</v>
      </c>
      <c r="C25" s="17">
        <f>FV($D$19,$A25*12,$D$17*-1)</f>
        <v>16755.382799697527</v>
      </c>
      <c r="D25" s="18">
        <f>C25*rendimento_carteira</f>
        <v>100.53229679818516</v>
      </c>
    </row>
    <row r="26" spans="1:6" ht="17.25" x14ac:dyDescent="0.3">
      <c r="A26" s="2">
        <v>10</v>
      </c>
      <c r="B26" s="16" t="s">
        <v>8</v>
      </c>
      <c r="C26" s="17">
        <f>FV($D$19,$A26*12,$D$17*-1)</f>
        <v>48656.842506034438</v>
      </c>
      <c r="D26" s="18">
        <f>C26*rendimento_carteira</f>
        <v>291.94105503620665</v>
      </c>
    </row>
    <row r="27" spans="1:6" ht="17.25" x14ac:dyDescent="0.3">
      <c r="A27" s="2">
        <v>20</v>
      </c>
      <c r="B27" s="16" t="s">
        <v>9</v>
      </c>
      <c r="C27" s="17">
        <f>FV($D$19,$A27*12,$D$17*-1)</f>
        <v>225039.68001941612</v>
      </c>
      <c r="D27" s="18">
        <f>C27*rendimento_carteira</f>
        <v>1350.2380801164968</v>
      </c>
    </row>
    <row r="28" spans="1:6" ht="18" thickBot="1" x14ac:dyDescent="0.35">
      <c r="A28" s="2">
        <v>30</v>
      </c>
      <c r="B28" s="19" t="s">
        <v>10</v>
      </c>
      <c r="C28" s="20">
        <f>FV($D$19,$A28*12,$D$17*-1)</f>
        <v>864433.93100094295</v>
      </c>
      <c r="D28" s="21">
        <f>C28*rendimento_carteira</f>
        <v>5186.6035860056581</v>
      </c>
    </row>
    <row r="32" spans="1:6" x14ac:dyDescent="0.25">
      <c r="B32" s="23" t="s">
        <v>20</v>
      </c>
      <c r="C32" s="25" t="s">
        <v>35</v>
      </c>
      <c r="D32" s="30"/>
    </row>
    <row r="33" spans="2:4" x14ac:dyDescent="0.25">
      <c r="B33" s="24" t="s">
        <v>17</v>
      </c>
      <c r="C33" s="26">
        <f>aporte</f>
        <v>200</v>
      </c>
      <c r="D33" s="39"/>
    </row>
    <row r="35" spans="2:4" x14ac:dyDescent="0.25">
      <c r="B35" s="28" t="s">
        <v>22</v>
      </c>
      <c r="C35" s="28" t="s">
        <v>23</v>
      </c>
      <c r="D35" s="28" t="s">
        <v>24</v>
      </c>
    </row>
    <row r="36" spans="2:4" x14ac:dyDescent="0.25">
      <c r="B36" s="4" t="s">
        <v>25</v>
      </c>
      <c r="C36" s="27">
        <f>VLOOKUP($C$32&amp;"-"&amp;B36,'tbl de apoio'!$A$2:$D$20,4,FALSE)</f>
        <v>0.5</v>
      </c>
      <c r="D36" s="31">
        <f>C36*$C$33</f>
        <v>100</v>
      </c>
    </row>
    <row r="37" spans="2:4" x14ac:dyDescent="0.25">
      <c r="B37" s="4" t="s">
        <v>26</v>
      </c>
      <c r="C37" s="27">
        <f>VLOOKUP($C$32&amp;"-"&amp;B37,'tbl de apoio'!$A$2:$D$20,4,FALSE)</f>
        <v>0.1</v>
      </c>
      <c r="D37" s="31">
        <f t="shared" ref="D37:D41" si="0">C37*$C$33</f>
        <v>20</v>
      </c>
    </row>
    <row r="38" spans="2:4" x14ac:dyDescent="0.25">
      <c r="B38" s="4" t="s">
        <v>27</v>
      </c>
      <c r="C38" s="27">
        <f>VLOOKUP($C$32&amp;"-"&amp;B38,'tbl de apoio'!$A$2:$D$20,4,FALSE)</f>
        <v>0.05</v>
      </c>
      <c r="D38" s="31">
        <f t="shared" si="0"/>
        <v>10</v>
      </c>
    </row>
    <row r="39" spans="2:4" x14ac:dyDescent="0.25">
      <c r="B39" s="4" t="s">
        <v>28</v>
      </c>
      <c r="C39" s="27">
        <f>VLOOKUP($C$32&amp;"-"&amp;B39,'tbl de apoio'!$A$2:$D$20,4,FALSE)</f>
        <v>0.05</v>
      </c>
      <c r="D39" s="31">
        <f t="shared" si="0"/>
        <v>10</v>
      </c>
    </row>
    <row r="40" spans="2:4" ht="15.75" customHeight="1" x14ac:dyDescent="0.25">
      <c r="B40" s="4" t="s">
        <v>29</v>
      </c>
      <c r="C40" s="27">
        <f>VLOOKUP($C$32&amp;"-"&amp;B40,'tbl de apoio'!$A$2:$D$20,4,FALSE)</f>
        <v>0.2</v>
      </c>
      <c r="D40" s="31">
        <f t="shared" si="0"/>
        <v>40</v>
      </c>
    </row>
    <row r="41" spans="2:4" x14ac:dyDescent="0.25">
      <c r="B41" s="4" t="s">
        <v>30</v>
      </c>
      <c r="C41" s="27">
        <f>VLOOKUP($C$32&amp;"-"&amp;B41,'tbl de apoio'!$A$2:$D$20,4,FALSE)</f>
        <v>0.1</v>
      </c>
      <c r="D41" s="31">
        <f t="shared" si="0"/>
        <v>20</v>
      </c>
    </row>
    <row r="42" spans="2:4" x14ac:dyDescent="0.25">
      <c r="B42" s="29"/>
      <c r="C42" s="29"/>
      <c r="D42" s="40">
        <f>SUM(D36:D41)</f>
        <v>200</v>
      </c>
    </row>
    <row r="47" spans="2:4" x14ac:dyDescent="0.25">
      <c r="D47" t="s">
        <v>31</v>
      </c>
    </row>
    <row r="629" spans="2:2" ht="15.75" thickBot="1" x14ac:dyDescent="0.3"/>
    <row r="630" spans="2:2" ht="15.75" thickBot="1" x14ac:dyDescent="0.3">
      <c r="B630" s="5"/>
    </row>
    <row r="1150" spans="6:6" x14ac:dyDescent="0.25">
      <c r="F1150" s="13"/>
    </row>
    <row r="4123" spans="2:2" x14ac:dyDescent="0.25">
      <c r="B4123" t="s">
        <v>19</v>
      </c>
    </row>
    <row r="4131" spans="6:6" x14ac:dyDescent="0.25">
      <c r="F4131" t="s">
        <v>18</v>
      </c>
    </row>
  </sheetData>
  <mergeCells count="11">
    <mergeCell ref="B12:C12"/>
    <mergeCell ref="B13:C13"/>
    <mergeCell ref="B14:C14"/>
    <mergeCell ref="B11:D11"/>
    <mergeCell ref="B16:D16"/>
    <mergeCell ref="B23:C23"/>
    <mergeCell ref="B19:C19"/>
    <mergeCell ref="B18:C18"/>
    <mergeCell ref="B17:C17"/>
    <mergeCell ref="B20:C20"/>
    <mergeCell ref="B21:C21"/>
  </mergeCells>
  <dataValidations count="1">
    <dataValidation type="list" allowBlank="1" showInputMessage="1" showErrorMessage="1" sqref="C32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0"/>
  <sheetViews>
    <sheetView workbookViewId="0">
      <selection activeCell="H10" sqref="H10"/>
    </sheetView>
  </sheetViews>
  <sheetFormatPr defaultRowHeight="15" x14ac:dyDescent="0.25"/>
  <cols>
    <col min="1" max="1" width="31.28515625" bestFit="1" customWidth="1"/>
    <col min="2" max="2" width="12.140625" bestFit="1" customWidth="1"/>
    <col min="3" max="3" width="19" bestFit="1" customWidth="1"/>
    <col min="7" max="7" width="17" bestFit="1" customWidth="1"/>
    <col min="8" max="8" width="10.140625" bestFit="1" customWidth="1"/>
  </cols>
  <sheetData>
    <row r="2" spans="1:8" x14ac:dyDescent="0.25">
      <c r="A2" s="42" t="s">
        <v>34</v>
      </c>
      <c r="B2" s="42" t="s">
        <v>20</v>
      </c>
      <c r="C2" s="42" t="s">
        <v>32</v>
      </c>
      <c r="D2" s="41" t="s">
        <v>33</v>
      </c>
      <c r="H2" s="4" t="s">
        <v>33</v>
      </c>
    </row>
    <row r="3" spans="1:8" x14ac:dyDescent="0.25">
      <c r="A3" t="str">
        <f>B3&amp;"-"&amp;C3</f>
        <v>Conservador-PAPEL</v>
      </c>
      <c r="B3" t="s">
        <v>16</v>
      </c>
      <c r="C3" s="4" t="s">
        <v>25</v>
      </c>
      <c r="D3" s="27">
        <v>0.3</v>
      </c>
      <c r="G3" s="23" t="s">
        <v>36</v>
      </c>
      <c r="H3" s="38">
        <f>VLOOKUP(G3,$A:$D,4,)</f>
        <v>0.35</v>
      </c>
    </row>
    <row r="4" spans="1:8" x14ac:dyDescent="0.25">
      <c r="A4" t="str">
        <f t="shared" ref="A4:A20" si="0">B4&amp;"-"&amp;C4</f>
        <v>Conservador-TIJOLO</v>
      </c>
      <c r="B4" t="s">
        <v>16</v>
      </c>
      <c r="C4" s="4" t="s">
        <v>26</v>
      </c>
      <c r="D4" s="27">
        <v>0.5</v>
      </c>
      <c r="H4" s="4"/>
    </row>
    <row r="5" spans="1:8" x14ac:dyDescent="0.25">
      <c r="A5" t="str">
        <f t="shared" si="0"/>
        <v>Conservador-HÍBRIDOS</v>
      </c>
      <c r="B5" t="s">
        <v>16</v>
      </c>
      <c r="C5" s="4" t="s">
        <v>27</v>
      </c>
      <c r="D5" s="27">
        <v>0.1</v>
      </c>
      <c r="H5" s="4"/>
    </row>
    <row r="6" spans="1:8" x14ac:dyDescent="0.25">
      <c r="A6" t="str">
        <f t="shared" si="0"/>
        <v>Conservador-FOFs</v>
      </c>
      <c r="B6" t="s">
        <v>16</v>
      </c>
      <c r="C6" s="4" t="s">
        <v>28</v>
      </c>
      <c r="D6" s="27">
        <v>0.1</v>
      </c>
      <c r="H6" s="4"/>
    </row>
    <row r="7" spans="1:8" x14ac:dyDescent="0.25">
      <c r="A7" t="str">
        <f t="shared" si="0"/>
        <v>Conservador-DESENVOLVIMENTO</v>
      </c>
      <c r="B7" t="s">
        <v>16</v>
      </c>
      <c r="C7" s="4" t="s">
        <v>29</v>
      </c>
      <c r="D7" s="27">
        <v>0</v>
      </c>
      <c r="H7" s="4"/>
    </row>
    <row r="8" spans="1:8" ht="15.75" thickBot="1" x14ac:dyDescent="0.3">
      <c r="A8" s="32" t="str">
        <f t="shared" si="0"/>
        <v>Conservador-HOTELARIAS</v>
      </c>
      <c r="B8" s="32" t="s">
        <v>16</v>
      </c>
      <c r="C8" s="33" t="s">
        <v>30</v>
      </c>
      <c r="D8" s="34">
        <v>0</v>
      </c>
      <c r="H8" s="4"/>
    </row>
    <row r="9" spans="1:8" x14ac:dyDescent="0.25">
      <c r="A9" t="str">
        <f t="shared" si="0"/>
        <v>Moderado-PAPEL</v>
      </c>
      <c r="B9" t="s">
        <v>21</v>
      </c>
      <c r="C9" s="4" t="s">
        <v>25</v>
      </c>
      <c r="D9" s="27">
        <v>0.32</v>
      </c>
      <c r="H9" s="4"/>
    </row>
    <row r="10" spans="1:8" x14ac:dyDescent="0.25">
      <c r="A10" s="35" t="str">
        <f t="shared" si="0"/>
        <v>Moderado-TIJOLO</v>
      </c>
      <c r="B10" s="35" t="s">
        <v>21</v>
      </c>
      <c r="C10" s="36" t="s">
        <v>26</v>
      </c>
      <c r="D10" s="37">
        <v>0.35</v>
      </c>
      <c r="H10" s="4"/>
    </row>
    <row r="11" spans="1:8" x14ac:dyDescent="0.25">
      <c r="A11" t="str">
        <f t="shared" si="0"/>
        <v>Moderado-HÍBRIDOS</v>
      </c>
      <c r="B11" t="s">
        <v>21</v>
      </c>
      <c r="C11" s="4" t="s">
        <v>27</v>
      </c>
      <c r="D11" s="27">
        <v>0.08</v>
      </c>
      <c r="H11" s="4"/>
    </row>
    <row r="12" spans="1:8" x14ac:dyDescent="0.25">
      <c r="A12" t="str">
        <f t="shared" si="0"/>
        <v>Moderado-FOFs</v>
      </c>
      <c r="B12" t="s">
        <v>21</v>
      </c>
      <c r="C12" s="4" t="s">
        <v>28</v>
      </c>
      <c r="D12" s="27">
        <v>0.05</v>
      </c>
    </row>
    <row r="13" spans="1:8" x14ac:dyDescent="0.25">
      <c r="A13" t="str">
        <f t="shared" si="0"/>
        <v>Moderado-DESENVOLVIMENTO</v>
      </c>
      <c r="B13" t="s">
        <v>21</v>
      </c>
      <c r="C13" s="4" t="s">
        <v>29</v>
      </c>
      <c r="D13" s="27">
        <v>0.1</v>
      </c>
    </row>
    <row r="14" spans="1:8" ht="15.75" thickBot="1" x14ac:dyDescent="0.3">
      <c r="A14" s="32" t="str">
        <f t="shared" si="0"/>
        <v>Moderado-HOTELARIAS</v>
      </c>
      <c r="B14" s="32" t="s">
        <v>21</v>
      </c>
      <c r="C14" s="33" t="s">
        <v>30</v>
      </c>
      <c r="D14" s="34">
        <v>0.1</v>
      </c>
    </row>
    <row r="15" spans="1:8" x14ac:dyDescent="0.25">
      <c r="A15" t="str">
        <f t="shared" si="0"/>
        <v>Agressivo-PAPEL</v>
      </c>
      <c r="B15" t="s">
        <v>35</v>
      </c>
      <c r="C15" s="4" t="s">
        <v>25</v>
      </c>
      <c r="D15" s="27">
        <v>0.5</v>
      </c>
    </row>
    <row r="16" spans="1:8" x14ac:dyDescent="0.25">
      <c r="A16" t="str">
        <f t="shared" si="0"/>
        <v>Agressivo-TIJOLO</v>
      </c>
      <c r="B16" t="s">
        <v>35</v>
      </c>
      <c r="C16" s="4" t="s">
        <v>26</v>
      </c>
      <c r="D16" s="27">
        <v>0.1</v>
      </c>
    </row>
    <row r="17" spans="1:4" x14ac:dyDescent="0.25">
      <c r="A17" t="str">
        <f t="shared" si="0"/>
        <v>Agressivo-HÍBRIDOS</v>
      </c>
      <c r="B17" t="s">
        <v>35</v>
      </c>
      <c r="C17" s="4" t="s">
        <v>27</v>
      </c>
      <c r="D17" s="27">
        <v>0.05</v>
      </c>
    </row>
    <row r="18" spans="1:4" x14ac:dyDescent="0.25">
      <c r="A18" t="str">
        <f t="shared" si="0"/>
        <v>Agressivo-FOFs</v>
      </c>
      <c r="B18" t="s">
        <v>35</v>
      </c>
      <c r="C18" s="4" t="s">
        <v>28</v>
      </c>
      <c r="D18" s="27">
        <v>0.05</v>
      </c>
    </row>
    <row r="19" spans="1:4" x14ac:dyDescent="0.25">
      <c r="A19" t="str">
        <f t="shared" si="0"/>
        <v>Agressivo-DESENVOLVIMENTO</v>
      </c>
      <c r="B19" t="s">
        <v>35</v>
      </c>
      <c r="C19" s="4" t="s">
        <v>29</v>
      </c>
      <c r="D19" s="27">
        <v>0.2</v>
      </c>
    </row>
    <row r="20" spans="1:4" x14ac:dyDescent="0.25">
      <c r="A20" s="7" t="str">
        <f t="shared" si="0"/>
        <v>Agressivo-HOTELARIAS</v>
      </c>
      <c r="B20" t="s">
        <v>35</v>
      </c>
      <c r="C20" s="4" t="s">
        <v>30</v>
      </c>
      <c r="D20" s="2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tbl de apoio</vt:lpstr>
      <vt:lpstr>aporte</vt:lpstr>
      <vt:lpstr>patrimonio</vt:lpstr>
      <vt:lpstr>qntd_anos</vt:lpstr>
      <vt:lpstr>rendimento_carteira</vt:lpstr>
      <vt:lpstr>salario</vt:lpstr>
      <vt:lpstr>sugestao_investimento</vt:lpstr>
      <vt:lpstr>taxa_mensal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thaylan.lemos</dc:creator>
  <cp:lastModifiedBy>thaylan.lemos</cp:lastModifiedBy>
  <dcterms:created xsi:type="dcterms:W3CDTF">2026-01-30T01:49:31Z</dcterms:created>
  <dcterms:modified xsi:type="dcterms:W3CDTF">2026-01-30T11:29:37Z</dcterms:modified>
</cp:coreProperties>
</file>